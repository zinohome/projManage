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340" windowHeight="16760"/>
  </bookViews>
  <sheets>
    <sheet name="sheet" sheetId="1" r:id="rId1"/>
  </sheets>
  <definedNames>
    <definedName name="_xlnm._FilterDatabase" localSheetId="0" hidden="1">sheet!$A$1:$AC$1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<sst xmlns="http://schemas.openxmlformats.org/spreadsheetml/2006/main" count="364" uniqueCount="267">
  <si>
    <t>编号</t>
  </si>
  <si>
    <t>客户号</t>
  </si>
  <si>
    <t>客户名</t>
  </si>
  <si>
    <t>业务分类</t>
  </si>
  <si>
    <t>项目名称</t>
  </si>
  <si>
    <t>项目所在地</t>
  </si>
  <si>
    <t>项目联系人</t>
  </si>
  <si>
    <t>联系电话</t>
  </si>
  <si>
    <t>服务内容及要求</t>
  </si>
  <si>
    <t>合同金额</t>
  </si>
  <si>
    <t>合同年限</t>
  </si>
  <si>
    <t>合同签订日期</t>
  </si>
  <si>
    <t>合同到期时间</t>
  </si>
  <si>
    <t>预计续约时间</t>
  </si>
  <si>
    <t>合作方式</t>
  </si>
  <si>
    <t>是否开标</t>
  </si>
  <si>
    <t>招标类型</t>
  </si>
  <si>
    <t>项目编号</t>
  </si>
  <si>
    <t>标的物</t>
  </si>
  <si>
    <t>预算金额</t>
  </si>
  <si>
    <t>最高限价</t>
  </si>
  <si>
    <t>发布时间</t>
  </si>
  <si>
    <t>截至时间</t>
  </si>
  <si>
    <t>中标价格</t>
  </si>
  <si>
    <t>中标日期</t>
  </si>
  <si>
    <t>中标公司</t>
  </si>
  <si>
    <t>网址参考</t>
  </si>
  <si>
    <t>主要竞争对手</t>
  </si>
  <si>
    <t>其他</t>
  </si>
  <si>
    <t>上海烟草集团北京卷烟厂有限公司</t>
  </si>
  <si>
    <t>ITOSS</t>
  </si>
  <si>
    <t>上海烟草集团北京卷烟厂有限公司2023-2026年度桌面运维项目</t>
  </si>
  <si>
    <t>北京市</t>
  </si>
  <si>
    <t>席工</t>
  </si>
  <si>
    <t>010-59028035</t>
  </si>
  <si>
    <t>3年</t>
  </si>
  <si>
    <t>是</t>
  </si>
  <si>
    <t>公开招标</t>
  </si>
  <si>
    <t>2026年度桌面运维</t>
  </si>
  <si>
    <t>75万元/3年</t>
  </si>
  <si>
    <t>74.4万元</t>
  </si>
  <si>
    <t>北京中烟信息技术有限公司</t>
  </si>
  <si>
    <t>http://www.cebpubservice.com/</t>
  </si>
  <si>
    <t>1.北京中烟信息技术有限公司、2.阳光雨露信息技术服务(北京)有限公司、3.北京亿智云科技有限公司</t>
  </si>
  <si>
    <t>840823</t>
  </si>
  <si>
    <t>青岛大学附属医院</t>
  </si>
  <si>
    <t>Others</t>
  </si>
  <si>
    <t>青岛大学附属医院信息维修项目</t>
  </si>
  <si>
    <t>青岛市</t>
  </si>
  <si>
    <t>江洋、刘笑雪</t>
  </si>
  <si>
    <t>0532-82911710、0532-82911179</t>
  </si>
  <si>
    <t>包括桌面端 PC、笔记本、显示器等资产设备的系统支持和维护、其中包含软硬件与系统安全服务。从硬件安装、系统、软件安装、软硬件维护更新、升级、提供全程维护服务，对操作系统提供性能检测、系统优化、故障检测、故障排除、用户管理、资源分配安全性控制，以及技术咨询和技术培训等。
1）医院现用电脑90%以上是联想机型，要求驻场人员有2年以上工作经验，熟悉联想全系机型的硬盘拆装，并有很强硬件排错能力，如遇特殊问题无法解决，有后期技术支持，并有系统的知识库提供支持（提供知识库截图和网址） 2）提供医院专线技术支持热线，方面日常咨询报修。 3）为医院联想全系机型出保一个月内提供免费硬件维修，维修换件要求原厂备件。 4）在医院内放置常用机型原厂保内备件：主板、内存、CPU、电源、硬盘、显卡，在设备出现硬件故障时，可以第一时间解决。5）提供桌面运维的月度、季度、年度服务报告。针对常见问题，建立医院自有的IT信息知识库。 6）提供医院所有品牌保内设备的运维流程。 7）要满足医院服务SLA，按月考核，如两个月不达标，医院有权终止服务合同。 8）项目经理要有ITIL认证。 9）提供半年一次设备清洁服务：包含设备机箱、键盘、鼠标、散热组件等设备。 10）驻场人员：3人，工作时间和医院的工作时间一致。驻场人员休假期间要求公司安排相同资质的工程师提供服务。</t>
  </si>
  <si>
    <t>2023/10/5-2024/10/4</t>
  </si>
  <si>
    <t>合同生效后，根据季度考核结果，下季度支付上季度服务费。</t>
  </si>
  <si>
    <t>青岛大学附属医院信息维修项目096</t>
  </si>
  <si>
    <t>硬件运维服务</t>
  </si>
  <si>
    <t>35万元</t>
  </si>
  <si>
    <t>34.3万元</t>
  </si>
  <si>
    <t>阳光雨露信息技术服务(北京)有限公司</t>
  </si>
  <si>
    <t>山东省政府采购信息公开平台 (ccgp-shandong.gov.cn)</t>
  </si>
  <si>
    <t>1.恒华数字科技集团有限公司、2.青岛明杰网络科技有限公司、3.上海联众网络信息股份有限公司、4.北京威科亚太信息技术有限公司、5.山东一恒信息咨询有限公司、6.厦门齐诺软件科技有限公司</t>
  </si>
  <si>
    <t>唐山市盾石信息技术有限公司</t>
  </si>
  <si>
    <t>唐山市盾石信息技术有限公司开发服务</t>
  </si>
  <si>
    <t>唐山市</t>
  </si>
  <si>
    <t>张璐</t>
  </si>
  <si>
    <t>技术服务,技术服务</t>
  </si>
  <si>
    <t>https://www.bbmgzc.com/</t>
  </si>
  <si>
    <t>1.上海汉得信息技术股份有限公司</t>
  </si>
  <si>
    <t>深圳市润电信息科技有限公司</t>
  </si>
  <si>
    <t>深圳市润电信息科技有限公司采购项目</t>
  </si>
  <si>
    <t>深圳市</t>
  </si>
  <si>
    <t>刘其永/李付伟</t>
  </si>
  <si>
    <t>0755-82668888-3723</t>
  </si>
  <si>
    <t>权限调整、操作指导、功能配置、问题咨询、知识维护等系统运维内容，并根据相应的标准和规范处理或转接问题，信息系统包括ERP、OA、统一业务审批中心、财务核算等23套系统；物资编码管理及维护工作；客户服务电话系统租用等，具体详见招标文件第五卷《技术规范及要求》中的项目范围。</t>
  </si>
  <si>
    <t>合同签订生效且乙方按照甲方书面通知进场之日起一年</t>
  </si>
  <si>
    <t>信息系统运维外包</t>
  </si>
  <si>
    <t>3646856元</t>
  </si>
  <si>
    <t>广州赛意信息科技股份有限公司</t>
  </si>
  <si>
    <t>https://szecp.crc.com.cn/</t>
  </si>
  <si>
    <t>1.阳光雨露信息技术服务(北京)有限公司、</t>
  </si>
  <si>
    <t>826064</t>
  </si>
  <si>
    <t>徽商银行股份有限公司</t>
  </si>
  <si>
    <t>桌面办公技术维护服务采购项目</t>
  </si>
  <si>
    <t>合肥市</t>
  </si>
  <si>
    <t>方蕾</t>
  </si>
  <si>
    <t>0551-63799361</t>
  </si>
  <si>
    <t>1年</t>
  </si>
  <si>
    <t>桌面办公技术维护</t>
  </si>
  <si>
    <t>45万元</t>
  </si>
  <si>
    <t>418000元</t>
  </si>
  <si>
    <t>安徽中杰信息科技有限公司</t>
  </si>
  <si>
    <t>1.阳光雨露信息技术服务(北京)有限公司</t>
  </si>
  <si>
    <t>817727</t>
  </si>
  <si>
    <t>一汽解放汽车有限公司</t>
  </si>
  <si>
    <t>四川分公司IT桌面运维服务</t>
  </si>
  <si>
    <t>长春市</t>
  </si>
  <si>
    <t>郭志军</t>
  </si>
  <si>
    <t>IT桌面运维</t>
  </si>
  <si>
    <t>https://etp.faw.cn/</t>
  </si>
  <si>
    <t>1.沈阳众津计算机技术服务有限公司、2.众智诚网络信息科技(辽宁省)有限公司</t>
  </si>
  <si>
    <t>电算维修备件供货、安装服务</t>
  </si>
  <si>
    <t>电算维修备件</t>
  </si>
  <si>
    <t>成都智泽普科技有限公司</t>
  </si>
  <si>
    <t>1.阳光雨露信息技术服务(北京)有限公司、2.成都金冠杰科技有限公司</t>
  </si>
  <si>
    <t>856397</t>
  </si>
  <si>
    <t>深圳市燃气集团股份有限公司</t>
  </si>
  <si>
    <t>深圳市燃气集团股份有限公司2023-2025年度深圳燃气IT桌面运维外委服务项目</t>
  </si>
  <si>
    <t>张磊</t>
  </si>
  <si>
    <t>0755-88660413</t>
  </si>
  <si>
    <t>深圳市燃气集团股份有限公司深圳地区所有办公点信息化设备的IT桌面运维服务及与其相关的知识库维护、设备巡检、服务台运作等服务。</t>
  </si>
  <si>
    <t>自合同签订起两年整</t>
  </si>
  <si>
    <t>深圳燃气IT桌面,设备巡检</t>
  </si>
  <si>
    <t>5000000元</t>
  </si>
  <si>
    <t>4888888.88元</t>
  </si>
  <si>
    <t>阳光雨露信息技术服务(北京)有限公司西安服务部</t>
  </si>
  <si>
    <t>https://www.szygcgpt.com/</t>
  </si>
  <si>
    <t>1.深圳市神州动力数码有限公司、2.护航科技股份有限公司</t>
  </si>
  <si>
    <t>814522</t>
  </si>
  <si>
    <t>中国人民财产保险股份有限公司江苏省分公司</t>
  </si>
  <si>
    <t>人保财险江苏省分公司桌面运维驻场服务项目</t>
  </si>
  <si>
    <t>南京市</t>
  </si>
  <si>
    <t>张辉</t>
  </si>
  <si>
    <t>提供桌面运维驻场等相关服务</t>
  </si>
  <si>
    <t>自合同签订之日起一年。</t>
  </si>
  <si>
    <t>合同到期之后，若双方均无异议，可另行签订续约合同。</t>
  </si>
  <si>
    <t>服务/专业技术服务/其他专业技术服务,拟通过竞争性磋商的方式选取1家供应商为采购人提供桌面运维驻场等相关服务,人保财险桌面运维驻场服务项目</t>
  </si>
  <si>
    <t>16万元</t>
  </si>
  <si>
    <t>15.5万元</t>
  </si>
  <si>
    <t>阳光雨露信息技术服务(北京)有限公司南京服务中心</t>
  </si>
  <si>
    <t>https://www.ccgp.gov.cn/</t>
  </si>
  <si>
    <t>1.南京佳强科技有限公司</t>
  </si>
  <si>
    <t>中国农业银行股份有限公司贵州省分行</t>
  </si>
  <si>
    <t>贵州省分行2023-2025数据中心机房监控值守和机关办公IT设备维护外包项目</t>
  </si>
  <si>
    <t>贵阳市</t>
  </si>
  <si>
    <t>陈女士</t>
  </si>
  <si>
    <t>0851-87119619</t>
  </si>
  <si>
    <t>贵州省分行2023-2025年数据中心机房监控值守和机关办公IT设备维护服务，不少于12名服务人员。</t>
  </si>
  <si>
    <t>2年</t>
  </si>
  <si>
    <t>数据中心机房监控值守,监控值守和机关办公IT设</t>
  </si>
  <si>
    <t>205万元</t>
  </si>
  <si>
    <t>1931026元</t>
  </si>
  <si>
    <t>http://ztb.guizhou.gov.cn/</t>
  </si>
  <si>
    <t>中信银行股份有限公司郑州分行</t>
  </si>
  <si>
    <t>中信银行郑州分行桌面及网络维护服务采购项目</t>
  </si>
  <si>
    <t>郑州市</t>
  </si>
  <si>
    <t>张女士</t>
  </si>
  <si>
    <t>0371-55588345</t>
  </si>
  <si>
    <t>郑州辖区桌面及网络维护服务，用于郑州同城及县域机构桌面级软硬件维护
网络增改拆调以及故障排查修复，包括设备网络及软件等安装调试日常维护故障处理
等事务</t>
  </si>
  <si>
    <t>2023/6/11-2024/6/10</t>
  </si>
  <si>
    <t>郑州辖区桌面及网络维护服务</t>
  </si>
  <si>
    <t>49.68万元</t>
  </si>
  <si>
    <t>48.7万元</t>
  </si>
  <si>
    <t>深圳市雁联计算系统有限公司</t>
  </si>
  <si>
    <t>1.深圳广电银通金融电子科技有限公司、2.深圳市雁联计算系统有限公司、3.阳光雨露信息技术服务(北京)有限公司</t>
  </si>
  <si>
    <t>青岛颐中国际大酒店有限公司</t>
  </si>
  <si>
    <t>青岛颐中国际大酒店有限公司IT运维服务外包项目</t>
  </si>
  <si>
    <t>葛先生</t>
  </si>
  <si>
    <t>0532-85718888</t>
  </si>
  <si>
    <t>自合同签订之日起3年</t>
  </si>
  <si>
    <t>IT运维服务外包</t>
  </si>
  <si>
    <t>1.2万元</t>
  </si>
  <si>
    <t>1.2万元/月</t>
  </si>
  <si>
    <t>1.1万元/月</t>
  </si>
  <si>
    <t>青岛旭诚电子科技有限公司</t>
  </si>
  <si>
    <t>1.阳光雨露信息技术服务(北京)有限公司青岛服务中心、2.山东通软天成信息技术有限公司</t>
  </si>
  <si>
    <t>交通银行股份有限公司云南省分行</t>
  </si>
  <si>
    <t>2023年度昆明计算机软硬件维护、综合布线零星维护及桌面终端维护服务项目</t>
  </si>
  <si>
    <t>昆明市</t>
  </si>
  <si>
    <t>杨老师、任老师</t>
  </si>
  <si>
    <t>0871-64880812、0871-66030992</t>
  </si>
  <si>
    <t>(1)按需进行计算机、手持终端、视频会议系统终端、打印机等终端的日常维护、安装、测试、维修等;相关硬件信息登记等工作。
(2)按需进行计算机系统、软件等的日常维护、安装、调试和升级等。
(3)按需进行网点设备间、楼层弱电间、外部合作单位的设备上架安装至投产运行的现场调试及后续维护工作。(4)其它涉及计算机设备及物理线路布排、更换等维护工作。</t>
  </si>
  <si>
    <t>合同一年一签</t>
  </si>
  <si>
    <t>2023年度昆明计算机软硬件维护、综合布线零星维护及桌面终端维护</t>
  </si>
  <si>
    <t>27万元</t>
  </si>
  <si>
    <t>23.8万元</t>
  </si>
  <si>
    <t>中国联合网络通信有限公司昆明市分公司</t>
  </si>
  <si>
    <t>https://bocom-gys.bankcomm.com</t>
  </si>
  <si>
    <t>1.阳光雨露信息技术服务(北京)有限公司、2.深圳广电银通金融电子科技有限公司</t>
  </si>
  <si>
    <t>887392</t>
  </si>
  <si>
    <t>银联国际有限公司</t>
  </si>
  <si>
    <t>银联国际2023年信息系统开发运维服务定点采购项目</t>
  </si>
  <si>
    <t>深圳、上海</t>
  </si>
  <si>
    <t>张先生</t>
  </si>
  <si>
    <t>0755-33021011</t>
  </si>
  <si>
    <t>银联国际2023年信息系统开发运维服务定点采购，拟采购5家定点协议供应商，根据采购人的项目要求，提供外部技术开发、测试和运维支持服务。</t>
  </si>
  <si>
    <t>自合同签订起一年。</t>
  </si>
  <si>
    <t>信息系统开发运维</t>
  </si>
  <si>
    <t>深圳市金证科技股份有限公司</t>
  </si>
  <si>
    <t>www.zgyd11.com</t>
  </si>
  <si>
    <t>1.纬创软件(武汉)有限公司、2.深圳市博奥特科技有限公司、3.深圳市脉山龙信息技术股份有限公司、4.上海理想信息产业(集团)有限公司、5.深圳市金证科技股份有限公
司、6.上海中软华腾软件系统有限公司、7.上海新致软件股份有限公司、8.神州通誉软件(上海)股份有限公司、9.沈阳云游网络科技有限公司、10.深圳市法本信息技术股份有限公司、11.深圳华云信息系统科技股份有限公司、12.凯美瑞德(苏州)信息科技股份有限公司、13.上海复深蓝软件股份有限公司、14.京北方信息技术股份有限公司、15.北明软件有限公司、16.深圳市拓保软件有限公司、17.上海恒格信息科技有限公司、18.阳光雨露信息技术服务(北京)有限公司、19.德科信息有限公司、20.中电金信软件有限公司、21.软通动力信息技术(集团)股份有限公司、22.成都忆亨科技有限公司、23.上海致宇信息技术有限公司</t>
  </si>
  <si>
    <t>823186</t>
  </si>
  <si>
    <t>中国光大银行股份有限公司深圳分行</t>
  </si>
  <si>
    <t>中国光大银行深圳分行IT桌面运维服务</t>
  </si>
  <si>
    <t>李经理</t>
  </si>
  <si>
    <t>0755-88337149</t>
  </si>
  <si>
    <t>运维服务供应商</t>
  </si>
  <si>
    <t>就IT桌面运维服务采购</t>
  </si>
  <si>
    <t>511650元</t>
  </si>
  <si>
    <t>47.6万元</t>
  </si>
  <si>
    <t>深圳市源翌科技服务有限公司</t>
  </si>
  <si>
    <t>www.gzebid.cn</t>
  </si>
  <si>
    <t>一汽资产经营管理有限公司</t>
  </si>
  <si>
    <t>2023年IT运维服务</t>
  </si>
  <si>
    <t>赵广涛</t>
  </si>
  <si>
    <t>2023/5/3-2024/5/2</t>
  </si>
  <si>
    <t>2023年IT运维</t>
  </si>
  <si>
    <t>810000元</t>
  </si>
  <si>
    <t>697924.53元</t>
  </si>
  <si>
    <t>1.吉林省汇杰科技有限公司</t>
  </si>
  <si>
    <t>一汽解放青岛汽车有限公司</t>
  </si>
  <si>
    <t>桌面外包出厂维修采购项目</t>
  </si>
  <si>
    <t>青岛</t>
  </si>
  <si>
    <t>张英姿</t>
  </si>
  <si>
    <t>约三千四百台在用终端电算设备需更换备件的定点维修</t>
  </si>
  <si>
    <t>合同签订日至2023年12月31日</t>
  </si>
  <si>
    <t>桌面外包（出厂维修）</t>
  </si>
  <si>
    <t>69233元</t>
  </si>
  <si>
    <t>1.山东通软天成信息技术有限公司、2.长春一汽通信科技有限公司</t>
  </si>
  <si>
    <t>762971</t>
  </si>
  <si>
    <t>中移在线服务有限公司</t>
  </si>
  <si>
    <t>在线服务公司浙江分公司2022年-2023年运维支撑优化项目</t>
  </si>
  <si>
    <t>杭州市</t>
  </si>
  <si>
    <t>李睿</t>
  </si>
  <si>
    <t>运维支撑服务，需3人次总计990人天的运维支撑服务，其中全业务故障全生命周期管理2人次总计660人天，实时监控管理1人次总计330人天。</t>
  </si>
  <si>
    <t>合同签订之日起至2023年12月31日</t>
  </si>
  <si>
    <t>IT运维</t>
  </si>
  <si>
    <t>76.03万元</t>
  </si>
  <si>
    <t>747450元</t>
  </si>
  <si>
    <t>浙江全安信息科技有限公司</t>
  </si>
  <si>
    <t>https://b2b.10086.cn/#/index</t>
  </si>
  <si>
    <t>1.阳光雨露信息技术服务(北京)有限公司、2.成都亿阳信通信息技术有限公司</t>
  </si>
  <si>
    <t>2022-2023成都厂机房运维服务</t>
  </si>
  <si>
    <t>成都</t>
  </si>
  <si>
    <t>FA2022110023</t>
  </si>
  <si>
    <t>机房运维</t>
  </si>
  <si>
    <t>1.长春一汽通信科技有限公司、2.成都启明春蓉信息技术有限公司</t>
  </si>
  <si>
    <t>成都2022-2023桌面及基础设施运维服务</t>
  </si>
  <si>
    <t>FA2022100235</t>
  </si>
  <si>
    <t>2023桌面及基础设施运维</t>
  </si>
  <si>
    <t>1.成都亿建联科技有限公司、2.四川辰海正顺科技有限公司</t>
  </si>
  <si>
    <t>823966</t>
  </si>
  <si>
    <t>招商局国际科技有限公司</t>
  </si>
  <si>
    <t>招商局国际科技有限公司2022年SCT驻场运维人员外包服务项目</t>
  </si>
  <si>
    <t>黄汝武</t>
  </si>
  <si>
    <t>G1100000175104480001</t>
  </si>
  <si>
    <t>2022年SCT驻场运维人员外包</t>
  </si>
  <si>
    <t>1.深圳中迈信息技术有限公司、2.深圳极联信息技术股份有限公司</t>
  </si>
  <si>
    <t>2022年解放公司视频会议运维服务项目</t>
  </si>
  <si>
    <t>汪楠</t>
  </si>
  <si>
    <t>0431-81868611</t>
  </si>
  <si>
    <t>合同签订生效之日起一年</t>
  </si>
  <si>
    <t>服务周期365日历天，服务期末招标人对投标人服务情况进行评价，评价分值≥90分自动顺延一年，最多顺延两次（如项目需求内容发生改变则不可顺延，须重新招标）。</t>
  </si>
  <si>
    <t>0736-ZB20221961/01</t>
  </si>
  <si>
    <t>视频会议运维</t>
  </si>
  <si>
    <t>594335元</t>
  </si>
  <si>
    <t>长春一汽通信科技有限公司</t>
  </si>
  <si>
    <t>1.阳光雨露信息技术服务(北京)有限公司、2.吉林省汇杰科技有限公司、3.吉林一汽天奇一汉威实业有限公司、4.吉林省瑞莱斯通信技术有限公司、</t>
  </si>
  <si>
    <t>在线服务公司广西分公司2022-2024年客服系统终端及办公设备代维服务项目</t>
  </si>
  <si>
    <t>南宁市</t>
  </si>
  <si>
    <t>赵发飞</t>
  </si>
  <si>
    <t>广西分公司客服系统终端及办公设备代维服务，计划采购3168人天外协服务</t>
  </si>
  <si>
    <t>单项合同;自2022年11月13日至2024年11月12日(两年)，若合同签订时间晚于2022年11月13日，合同有效期为签订生效日起两年；合同的上眼金额构行完毕时络比，以先到的时间为准。</t>
  </si>
  <si>
    <t>CMOS20220500580</t>
  </si>
  <si>
    <t>客服系统终端及办公设备代维</t>
  </si>
  <si>
    <t>101.376万元(不含税)</t>
  </si>
  <si>
    <t>950019.84元</t>
  </si>
  <si>
    <t>1.广东地球村计算机系统股份有限公司、2.河北兴辉腾达科技有限公司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</si>
</sst>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1">
    <font>
      <sz val="11"/>
      <color theme="1"/>
      <name val="宋体"/>
      <charset val="134"/>
      <scheme val="minor"/>
    </font>
    <font>
      <sz val="10"/>
      <color theme="1"/>
      <name val="DengXi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13">
    <xf numFmtId="0" fontId="0" fillId="0" borderId="0" xfId="0"/>
    <xf numFmtId="49" fontId="0" fillId="0" borderId="0" xfId="0" applyNumberFormat="1"/>
    <xf numFmtId="49" fontId="1" fillId="2" borderId="1" xfId="0" applyNumberFormat="1" applyFont="1" applyFill="1" applyBorder="1" applyAlignment="1">
      <alignment horizontal="center" vertical="center"/>
    </xf>
    <xf numFmtId="0" fontId="1" fillId="2" borderId="1" xfId="0" applyFont="1" applyFill="1" applyBorder="1" applyAlignment="1">
      <alignment horizontal="left" vertical="center" wrapText="1"/>
    </xf>
    <xf numFmtId="0" fontId="1" fillId="0" borderId="1" xfId="0" applyFont="1" applyFill="1" applyBorder="1" applyAlignment="1">
      <alignment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left" vertical="center"/>
    </xf>
    <xf numFmtId="176" fontId="1" fillId="2" borderId="1" xfId="1" applyNumberFormat="1" applyFont="1" applyFill="1" applyBorder="1" applyAlignment="1">
      <alignment horizontal="right" vertical="center" wrapText="1"/>
    </xf>
    <xf numFmtId="14" fontId="1" fillId="0" borderId="1" xfId="0" applyNumberFormat="1" applyFont="1" applyFill="1" applyBorder="1" applyAlignment="1">
      <alignment vertical="center"/>
    </xf>
    <xf numFmtId="0" fontId="1" fillId="0" borderId="1" xfId="0" applyFont="1" applyFill="1" applyBorder="1" applyAlignment="1">
      <alignment horizontal="center" vertical="center"/>
    </xf>
    <xf numFmtId="0" fontId="1" fillId="2" borderId="1" xfId="0" applyFont="1" applyFill="1" applyBorder="1" applyAlignment="1">
      <alignment horizontal="center" vertical="center" wrapText="1"/>
    </xf>
    <xf numFmtId="14" fontId="1" fillId="0" borderId="1" xfId="0" applyNumberFormat="1" applyFont="1" applyFill="1" applyBorder="1" applyAlignment="1">
      <alignment horizontal="center" vertical="center"/>
    </xf>
    <xf numFmtId="176" fontId="1" fillId="0" borderId="1"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4"/>
  <sheetViews>
    <sheetView tabSelected="1" workbookViewId="0">
      <pane ySplit="1" topLeftCell="A2" activePane="bottomLeft" state="frozen"/>
      <selection/>
      <selection pane="bottomLeft" activeCell="B2" sqref="B2:AC24"/>
    </sheetView>
  </sheetViews>
  <sheetFormatPr defaultColWidth="15" defaultRowHeight="16.8"/>
  <cols>
    <col min="1" max="12" width="15" style="1"/>
    <col min="13" max="13" width="24.9903846153846" style="1" customWidth="1"/>
    <col min="14" max="29" width="15" style="1"/>
  </cols>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107" spans="2:29">
      <c r="B2" s="2"/>
      <c r="C2" s="3" t="s">
        <v>29</v>
      </c>
      <c r="D2" s="4" t="s">
        <v>30</v>
      </c>
      <c r="E2" s="3" t="s">
        <v>31</v>
      </c>
      <c r="F2" s="5" t="s">
        <v>32</v>
      </c>
      <c r="G2" s="4" t="s">
        <v>33</v>
      </c>
      <c r="H2" s="6" t="s">
        <v>34</v>
      </c>
      <c r="I2" s="3"/>
      <c r="J2" s="7"/>
      <c r="K2" s="4" t="s">
        <v>35</v>
      </c>
      <c r="L2" s="8"/>
      <c r="M2" s="8"/>
      <c r="N2" s="8"/>
      <c r="O2" s="4"/>
      <c r="P2" s="9" t="s">
        <v>36</v>
      </c>
      <c r="Q2" s="10" t="s">
        <v>37</v>
      </c>
      <c r="R2" s="4"/>
      <c r="S2" s="4" t="s">
        <v>38</v>
      </c>
      <c r="T2" s="4"/>
      <c r="U2" s="4" t="s">
        <v>39</v>
      </c>
      <c r="V2" s="11">
        <v>45145</v>
      </c>
      <c r="W2" s="11">
        <v>45152</v>
      </c>
      <c r="X2" s="4" t="s">
        <v>40</v>
      </c>
      <c r="Y2" s="11">
        <v>45167</v>
      </c>
      <c r="Z2" s="4" t="s">
        <v>41</v>
      </c>
      <c r="AA2" s="4" t="s">
        <v>42</v>
      </c>
      <c r="AB2" s="5" t="s">
        <v>43</v>
      </c>
      <c r="AC2" s="10"/>
    </row>
    <row r="3" ht="409.5" spans="2:29">
      <c r="B3" s="2" t="s">
        <v>44</v>
      </c>
      <c r="C3" s="3" t="s">
        <v>45</v>
      </c>
      <c r="D3" s="4" t="s">
        <v>46</v>
      </c>
      <c r="E3" s="3" t="s">
        <v>47</v>
      </c>
      <c r="F3" s="5" t="s">
        <v>48</v>
      </c>
      <c r="G3" s="4" t="s">
        <v>49</v>
      </c>
      <c r="H3" s="6" t="s">
        <v>50</v>
      </c>
      <c r="I3" s="3" t="s">
        <v>51</v>
      </c>
      <c r="J3" s="7"/>
      <c r="K3" s="4" t="s">
        <v>52</v>
      </c>
      <c r="L3" s="8">
        <v>45158</v>
      </c>
      <c r="M3" s="8">
        <v>45569</v>
      </c>
      <c r="N3" s="4">
        <f>MONTH(M3)</f>
        <v>10</v>
      </c>
      <c r="O3" s="4" t="s">
        <v>53</v>
      </c>
      <c r="P3" s="9" t="s">
        <v>36</v>
      </c>
      <c r="Q3" s="10" t="s">
        <v>37</v>
      </c>
      <c r="R3" s="4" t="s">
        <v>54</v>
      </c>
      <c r="S3" s="4" t="s">
        <v>55</v>
      </c>
      <c r="T3" s="4" t="s">
        <v>56</v>
      </c>
      <c r="U3" s="4" t="s">
        <v>56</v>
      </c>
      <c r="V3" s="11">
        <v>45119</v>
      </c>
      <c r="W3" s="11">
        <v>45126</v>
      </c>
      <c r="X3" s="4" t="s">
        <v>57</v>
      </c>
      <c r="Y3" s="11">
        <v>45133</v>
      </c>
      <c r="Z3" s="4" t="s">
        <v>58</v>
      </c>
      <c r="AA3" s="4" t="s">
        <v>59</v>
      </c>
      <c r="AB3" s="5" t="s">
        <v>60</v>
      </c>
      <c r="AC3" s="10"/>
    </row>
    <row r="4" ht="46" spans="2:29">
      <c r="B4" s="2"/>
      <c r="C4" s="3" t="s">
        <v>61</v>
      </c>
      <c r="D4" s="4" t="s">
        <v>46</v>
      </c>
      <c r="E4" s="3" t="s">
        <v>62</v>
      </c>
      <c r="F4" s="5" t="s">
        <v>63</v>
      </c>
      <c r="G4" s="4" t="s">
        <v>64</v>
      </c>
      <c r="H4" s="6">
        <v>18931536680</v>
      </c>
      <c r="I4" s="3"/>
      <c r="J4" s="7"/>
      <c r="K4" s="4"/>
      <c r="L4" s="8"/>
      <c r="M4" s="8"/>
      <c r="N4" s="8"/>
      <c r="O4" s="4"/>
      <c r="P4" s="9" t="s">
        <v>36</v>
      </c>
      <c r="Q4" s="10" t="s">
        <v>37</v>
      </c>
      <c r="R4" s="4"/>
      <c r="S4" s="4" t="s">
        <v>65</v>
      </c>
      <c r="T4" s="4"/>
      <c r="U4" s="4"/>
      <c r="V4" s="11">
        <v>45152</v>
      </c>
      <c r="W4" s="11">
        <v>45160</v>
      </c>
      <c r="X4" s="12">
        <v>0</v>
      </c>
      <c r="Y4" s="11">
        <v>45160</v>
      </c>
      <c r="Z4" s="4" t="s">
        <v>58</v>
      </c>
      <c r="AA4" s="4" t="s">
        <v>66</v>
      </c>
      <c r="AB4" s="5" t="s">
        <v>67</v>
      </c>
      <c r="AC4" s="10"/>
    </row>
    <row r="5" ht="289" spans="2:29">
      <c r="B5" s="2"/>
      <c r="C5" s="3" t="s">
        <v>68</v>
      </c>
      <c r="D5" s="4" t="s">
        <v>46</v>
      </c>
      <c r="E5" s="3" t="s">
        <v>69</v>
      </c>
      <c r="F5" s="5" t="s">
        <v>70</v>
      </c>
      <c r="G5" s="4" t="s">
        <v>71</v>
      </c>
      <c r="H5" s="6" t="s">
        <v>72</v>
      </c>
      <c r="I5" s="3" t="s">
        <v>73</v>
      </c>
      <c r="J5" s="7"/>
      <c r="K5" s="4" t="s">
        <v>74</v>
      </c>
      <c r="L5" s="8"/>
      <c r="M5" s="8"/>
      <c r="N5" s="8"/>
      <c r="O5" s="4"/>
      <c r="P5" s="9" t="s">
        <v>36</v>
      </c>
      <c r="Q5" s="10" t="s">
        <v>37</v>
      </c>
      <c r="R5" s="4"/>
      <c r="S5" s="4" t="s">
        <v>75</v>
      </c>
      <c r="T5" s="4"/>
      <c r="U5" s="4"/>
      <c r="V5" s="11">
        <v>45139</v>
      </c>
      <c r="W5" s="11">
        <v>45146</v>
      </c>
      <c r="X5" s="4" t="s">
        <v>76</v>
      </c>
      <c r="Y5" s="11">
        <v>45153</v>
      </c>
      <c r="Z5" s="4" t="s">
        <v>77</v>
      </c>
      <c r="AA5" s="4" t="s">
        <v>78</v>
      </c>
      <c r="AB5" s="5" t="s">
        <v>79</v>
      </c>
      <c r="AC5" s="10"/>
    </row>
    <row r="6" ht="46" spans="2:29">
      <c r="B6" s="2" t="s">
        <v>80</v>
      </c>
      <c r="C6" s="3" t="s">
        <v>81</v>
      </c>
      <c r="D6" s="4" t="s">
        <v>30</v>
      </c>
      <c r="E6" s="3" t="s">
        <v>82</v>
      </c>
      <c r="F6" s="5" t="s">
        <v>83</v>
      </c>
      <c r="G6" s="4" t="s">
        <v>84</v>
      </c>
      <c r="H6" s="6" t="s">
        <v>85</v>
      </c>
      <c r="I6" s="3"/>
      <c r="J6" s="7"/>
      <c r="K6" s="4" t="s">
        <v>86</v>
      </c>
      <c r="L6" s="8"/>
      <c r="M6" s="8"/>
      <c r="N6" s="8"/>
      <c r="O6" s="4"/>
      <c r="P6" s="9" t="s">
        <v>36</v>
      </c>
      <c r="Q6" s="10" t="s">
        <v>37</v>
      </c>
      <c r="R6" s="4"/>
      <c r="S6" s="4" t="s">
        <v>87</v>
      </c>
      <c r="T6" s="4" t="s">
        <v>88</v>
      </c>
      <c r="U6" s="4" t="s">
        <v>88</v>
      </c>
      <c r="V6" s="11">
        <v>45124</v>
      </c>
      <c r="W6" s="11">
        <v>45131</v>
      </c>
      <c r="X6" s="4" t="s">
        <v>89</v>
      </c>
      <c r="Y6" s="11">
        <v>45145</v>
      </c>
      <c r="Z6" s="4" t="s">
        <v>90</v>
      </c>
      <c r="AA6" s="4"/>
      <c r="AB6" s="5" t="s">
        <v>91</v>
      </c>
      <c r="AC6" s="10"/>
    </row>
    <row r="7" ht="76" spans="2:29">
      <c r="B7" s="2" t="s">
        <v>92</v>
      </c>
      <c r="C7" s="3" t="s">
        <v>93</v>
      </c>
      <c r="D7" s="4" t="s">
        <v>30</v>
      </c>
      <c r="E7" s="3" t="s">
        <v>94</v>
      </c>
      <c r="F7" s="5" t="s">
        <v>95</v>
      </c>
      <c r="G7" s="4" t="s">
        <v>96</v>
      </c>
      <c r="H7" s="6">
        <v>15982021956</v>
      </c>
      <c r="I7" s="3"/>
      <c r="J7" s="7"/>
      <c r="K7" s="4"/>
      <c r="L7" s="8"/>
      <c r="M7" s="8"/>
      <c r="N7" s="8"/>
      <c r="O7" s="4"/>
      <c r="P7" s="9" t="s">
        <v>36</v>
      </c>
      <c r="Q7" s="10" t="s">
        <v>37</v>
      </c>
      <c r="R7" s="4"/>
      <c r="S7" s="4" t="s">
        <v>97</v>
      </c>
      <c r="T7" s="4"/>
      <c r="U7" s="4"/>
      <c r="V7" s="11">
        <v>45110</v>
      </c>
      <c r="W7" s="11">
        <v>45117</v>
      </c>
      <c r="X7" s="12">
        <v>0</v>
      </c>
      <c r="Y7" s="11">
        <v>45117</v>
      </c>
      <c r="Z7" s="4" t="s">
        <v>58</v>
      </c>
      <c r="AA7" s="4" t="s">
        <v>98</v>
      </c>
      <c r="AB7" s="5" t="s">
        <v>99</v>
      </c>
      <c r="AC7" s="10"/>
    </row>
    <row r="8" ht="76" spans="2:29">
      <c r="B8" s="2" t="s">
        <v>92</v>
      </c>
      <c r="C8" s="3" t="s">
        <v>93</v>
      </c>
      <c r="D8" s="4" t="s">
        <v>46</v>
      </c>
      <c r="E8" s="3" t="s">
        <v>100</v>
      </c>
      <c r="F8" s="5" t="s">
        <v>95</v>
      </c>
      <c r="G8" s="4" t="s">
        <v>96</v>
      </c>
      <c r="H8" s="6">
        <v>15982021956</v>
      </c>
      <c r="I8" s="3"/>
      <c r="J8" s="7"/>
      <c r="K8" s="4"/>
      <c r="L8" s="8"/>
      <c r="M8" s="8"/>
      <c r="N8" s="8"/>
      <c r="O8" s="4"/>
      <c r="P8" s="9" t="s">
        <v>36</v>
      </c>
      <c r="Q8" s="10" t="s">
        <v>37</v>
      </c>
      <c r="R8" s="4"/>
      <c r="S8" s="4" t="s">
        <v>101</v>
      </c>
      <c r="T8" s="4"/>
      <c r="U8" s="4"/>
      <c r="V8" s="11">
        <v>45127</v>
      </c>
      <c r="W8" s="11">
        <v>45132</v>
      </c>
      <c r="X8" s="12">
        <v>0</v>
      </c>
      <c r="Y8" s="11">
        <v>45132</v>
      </c>
      <c r="Z8" s="4" t="s">
        <v>102</v>
      </c>
      <c r="AA8" s="4" t="s">
        <v>98</v>
      </c>
      <c r="AB8" s="5" t="s">
        <v>103</v>
      </c>
      <c r="AC8" s="10"/>
    </row>
    <row r="9" ht="137" spans="2:29">
      <c r="B9" s="2" t="s">
        <v>104</v>
      </c>
      <c r="C9" s="3" t="s">
        <v>105</v>
      </c>
      <c r="D9" s="4" t="s">
        <v>30</v>
      </c>
      <c r="E9" s="3" t="s">
        <v>106</v>
      </c>
      <c r="F9" s="5" t="s">
        <v>70</v>
      </c>
      <c r="G9" s="4" t="s">
        <v>107</v>
      </c>
      <c r="H9" s="6" t="s">
        <v>108</v>
      </c>
      <c r="I9" s="3" t="s">
        <v>109</v>
      </c>
      <c r="J9" s="7"/>
      <c r="K9" s="4" t="s">
        <v>110</v>
      </c>
      <c r="L9" s="8"/>
      <c r="M9" s="8"/>
      <c r="N9" s="8"/>
      <c r="O9" s="4"/>
      <c r="P9" s="9" t="s">
        <v>36</v>
      </c>
      <c r="Q9" s="10" t="s">
        <v>37</v>
      </c>
      <c r="R9" s="4"/>
      <c r="S9" s="4" t="s">
        <v>111</v>
      </c>
      <c r="T9" s="4"/>
      <c r="U9" s="4" t="s">
        <v>112</v>
      </c>
      <c r="V9" s="11">
        <v>45083</v>
      </c>
      <c r="W9" s="11">
        <v>45096</v>
      </c>
      <c r="X9" s="4" t="s">
        <v>113</v>
      </c>
      <c r="Y9" s="11">
        <v>45096</v>
      </c>
      <c r="Z9" s="4" t="s">
        <v>114</v>
      </c>
      <c r="AA9" s="4" t="s">
        <v>115</v>
      </c>
      <c r="AB9" s="5" t="s">
        <v>116</v>
      </c>
      <c r="AC9" s="10"/>
    </row>
    <row r="10" ht="46" spans="2:29">
      <c r="B10" s="2" t="s">
        <v>117</v>
      </c>
      <c r="C10" s="3" t="s">
        <v>118</v>
      </c>
      <c r="D10" s="4" t="s">
        <v>30</v>
      </c>
      <c r="E10" s="3" t="s">
        <v>119</v>
      </c>
      <c r="F10" s="5" t="s">
        <v>120</v>
      </c>
      <c r="G10" s="4" t="s">
        <v>121</v>
      </c>
      <c r="H10" s="6">
        <v>13357839945</v>
      </c>
      <c r="I10" s="3" t="s">
        <v>122</v>
      </c>
      <c r="J10" s="7"/>
      <c r="K10" s="4" t="s">
        <v>123</v>
      </c>
      <c r="L10" s="8"/>
      <c r="M10" s="8"/>
      <c r="N10" s="8"/>
      <c r="O10" s="4" t="s">
        <v>124</v>
      </c>
      <c r="P10" s="9" t="s">
        <v>36</v>
      </c>
      <c r="Q10" s="10"/>
      <c r="R10" s="4"/>
      <c r="S10" s="4" t="s">
        <v>125</v>
      </c>
      <c r="T10" s="4" t="s">
        <v>126</v>
      </c>
      <c r="U10" s="4" t="s">
        <v>126</v>
      </c>
      <c r="V10" s="11">
        <v>45089</v>
      </c>
      <c r="W10" s="11">
        <v>45092</v>
      </c>
      <c r="X10" s="4" t="s">
        <v>127</v>
      </c>
      <c r="Y10" s="11">
        <v>45093</v>
      </c>
      <c r="Z10" s="4" t="s">
        <v>128</v>
      </c>
      <c r="AA10" s="4" t="s">
        <v>129</v>
      </c>
      <c r="AB10" s="5" t="s">
        <v>130</v>
      </c>
      <c r="AC10" s="10"/>
    </row>
    <row r="11" ht="107" spans="2:29">
      <c r="B11" s="2"/>
      <c r="C11" s="3" t="s">
        <v>131</v>
      </c>
      <c r="D11" s="4" t="s">
        <v>30</v>
      </c>
      <c r="E11" s="3" t="s">
        <v>132</v>
      </c>
      <c r="F11" s="5" t="s">
        <v>133</v>
      </c>
      <c r="G11" s="4" t="s">
        <v>134</v>
      </c>
      <c r="H11" s="6" t="s">
        <v>135</v>
      </c>
      <c r="I11" s="3" t="s">
        <v>136</v>
      </c>
      <c r="J11" s="7"/>
      <c r="K11" s="4" t="s">
        <v>137</v>
      </c>
      <c r="L11" s="8"/>
      <c r="M11" s="8"/>
      <c r="N11" s="8"/>
      <c r="O11" s="4"/>
      <c r="P11" s="9" t="s">
        <v>36</v>
      </c>
      <c r="Q11" s="10"/>
      <c r="R11" s="4"/>
      <c r="S11" s="4" t="s">
        <v>138</v>
      </c>
      <c r="T11" s="4" t="s">
        <v>139</v>
      </c>
      <c r="U11" s="4" t="s">
        <v>139</v>
      </c>
      <c r="V11" s="11">
        <v>45064</v>
      </c>
      <c r="W11" s="11">
        <v>45070</v>
      </c>
      <c r="X11" s="4" t="s">
        <v>140</v>
      </c>
      <c r="Y11" s="11">
        <v>45084</v>
      </c>
      <c r="Z11" s="4" t="s">
        <v>58</v>
      </c>
      <c r="AA11" s="4" t="s">
        <v>141</v>
      </c>
      <c r="AB11" s="5"/>
      <c r="AC11" s="10"/>
    </row>
    <row r="12" ht="183" spans="2:29">
      <c r="B12" s="2"/>
      <c r="C12" s="3" t="s">
        <v>142</v>
      </c>
      <c r="D12" s="4" t="s">
        <v>30</v>
      </c>
      <c r="E12" s="3" t="s">
        <v>143</v>
      </c>
      <c r="F12" s="5" t="s">
        <v>144</v>
      </c>
      <c r="G12" s="4" t="s">
        <v>145</v>
      </c>
      <c r="H12" s="6" t="s">
        <v>146</v>
      </c>
      <c r="I12" s="3" t="s">
        <v>147</v>
      </c>
      <c r="J12" s="7"/>
      <c r="K12" s="4" t="s">
        <v>148</v>
      </c>
      <c r="L12" s="8"/>
      <c r="M12" s="8">
        <v>45453</v>
      </c>
      <c r="N12" s="4">
        <f>MONTH(M12)</f>
        <v>6</v>
      </c>
      <c r="O12" s="4"/>
      <c r="P12" s="9" t="s">
        <v>36</v>
      </c>
      <c r="Q12" s="10"/>
      <c r="R12" s="4"/>
      <c r="S12" s="4" t="s">
        <v>149</v>
      </c>
      <c r="T12" s="4" t="s">
        <v>150</v>
      </c>
      <c r="U12" s="4"/>
      <c r="V12" s="11">
        <v>45070</v>
      </c>
      <c r="W12" s="11">
        <v>45075</v>
      </c>
      <c r="X12" s="4" t="s">
        <v>151</v>
      </c>
      <c r="Y12" s="11">
        <v>45082</v>
      </c>
      <c r="Z12" s="4" t="s">
        <v>152</v>
      </c>
      <c r="AA12" s="4" t="s">
        <v>42</v>
      </c>
      <c r="AB12" s="5" t="s">
        <v>153</v>
      </c>
      <c r="AC12" s="10"/>
    </row>
    <row r="13" ht="92" spans="2:29">
      <c r="B13" s="2"/>
      <c r="C13" s="3" t="s">
        <v>154</v>
      </c>
      <c r="D13" s="4" t="s">
        <v>30</v>
      </c>
      <c r="E13" s="3" t="s">
        <v>155</v>
      </c>
      <c r="F13" s="5" t="s">
        <v>48</v>
      </c>
      <c r="G13" s="4" t="s">
        <v>156</v>
      </c>
      <c r="H13" s="6" t="s">
        <v>157</v>
      </c>
      <c r="I13" s="3"/>
      <c r="J13" s="7"/>
      <c r="K13" s="4" t="s">
        <v>158</v>
      </c>
      <c r="L13" s="8"/>
      <c r="M13" s="8"/>
      <c r="N13" s="8"/>
      <c r="O13" s="4"/>
      <c r="P13" s="9" t="s">
        <v>36</v>
      </c>
      <c r="Q13" s="10"/>
      <c r="R13" s="4"/>
      <c r="S13" s="4" t="s">
        <v>159</v>
      </c>
      <c r="T13" s="4" t="s">
        <v>160</v>
      </c>
      <c r="U13" s="4" t="s">
        <v>161</v>
      </c>
      <c r="V13" s="11">
        <v>45061</v>
      </c>
      <c r="W13" s="11">
        <v>45065</v>
      </c>
      <c r="X13" s="4" t="s">
        <v>162</v>
      </c>
      <c r="Y13" s="11">
        <v>45090</v>
      </c>
      <c r="Z13" s="4" t="s">
        <v>163</v>
      </c>
      <c r="AA13" s="4" t="s">
        <v>42</v>
      </c>
      <c r="AB13" s="5" t="s">
        <v>164</v>
      </c>
      <c r="AC13" s="10"/>
    </row>
    <row r="14" ht="380" spans="2:29">
      <c r="B14" s="2"/>
      <c r="C14" s="3" t="s">
        <v>165</v>
      </c>
      <c r="D14" s="4" t="s">
        <v>30</v>
      </c>
      <c r="E14" s="3" t="s">
        <v>166</v>
      </c>
      <c r="F14" s="5" t="s">
        <v>167</v>
      </c>
      <c r="G14" s="4" t="s">
        <v>168</v>
      </c>
      <c r="H14" s="6" t="s">
        <v>169</v>
      </c>
      <c r="I14" s="3" t="s">
        <v>170</v>
      </c>
      <c r="J14" s="7"/>
      <c r="K14" s="4" t="s">
        <v>35</v>
      </c>
      <c r="L14" s="8"/>
      <c r="M14" s="8"/>
      <c r="N14" s="8"/>
      <c r="O14" s="4" t="s">
        <v>171</v>
      </c>
      <c r="P14" s="9" t="s">
        <v>36</v>
      </c>
      <c r="Q14" s="10"/>
      <c r="R14" s="4"/>
      <c r="S14" s="4" t="s">
        <v>172</v>
      </c>
      <c r="T14" s="4" t="s">
        <v>173</v>
      </c>
      <c r="U14" s="4"/>
      <c r="V14" s="11">
        <v>45050</v>
      </c>
      <c r="W14" s="11">
        <v>45057</v>
      </c>
      <c r="X14" s="4" t="s">
        <v>174</v>
      </c>
      <c r="Y14" s="11">
        <v>45070</v>
      </c>
      <c r="Z14" s="4" t="s">
        <v>175</v>
      </c>
      <c r="AA14" s="4" t="s">
        <v>176</v>
      </c>
      <c r="AB14" s="5" t="s">
        <v>177</v>
      </c>
      <c r="AC14" s="10"/>
    </row>
    <row r="15" ht="409.5" spans="2:29">
      <c r="B15" s="2" t="s">
        <v>178</v>
      </c>
      <c r="C15" s="3" t="s">
        <v>179</v>
      </c>
      <c r="D15" s="4" t="s">
        <v>30</v>
      </c>
      <c r="E15" s="3" t="s">
        <v>180</v>
      </c>
      <c r="F15" s="5" t="s">
        <v>181</v>
      </c>
      <c r="G15" s="4" t="s">
        <v>182</v>
      </c>
      <c r="H15" s="6" t="s">
        <v>183</v>
      </c>
      <c r="I15" s="3" t="s">
        <v>184</v>
      </c>
      <c r="J15" s="7"/>
      <c r="K15" s="4" t="s">
        <v>185</v>
      </c>
      <c r="L15" s="8"/>
      <c r="M15" s="8"/>
      <c r="N15" s="8"/>
      <c r="O15" s="4"/>
      <c r="P15" s="9" t="s">
        <v>36</v>
      </c>
      <c r="Q15" s="10"/>
      <c r="R15" s="4"/>
      <c r="S15" s="4" t="s">
        <v>186</v>
      </c>
      <c r="T15" s="4"/>
      <c r="U15" s="4"/>
      <c r="V15" s="11">
        <v>45039</v>
      </c>
      <c r="W15" s="11">
        <v>45055</v>
      </c>
      <c r="X15" s="12">
        <v>0</v>
      </c>
      <c r="Y15" s="11">
        <v>45055</v>
      </c>
      <c r="Z15" s="4" t="s">
        <v>187</v>
      </c>
      <c r="AA15" s="4" t="s">
        <v>188</v>
      </c>
      <c r="AB15" s="5" t="s">
        <v>189</v>
      </c>
      <c r="AC15" s="10"/>
    </row>
    <row r="16" ht="46" spans="2:29">
      <c r="B16" s="2" t="s">
        <v>190</v>
      </c>
      <c r="C16" s="3" t="s">
        <v>191</v>
      </c>
      <c r="D16" s="4" t="s">
        <v>30</v>
      </c>
      <c r="E16" s="3" t="s">
        <v>192</v>
      </c>
      <c r="F16" s="5" t="s">
        <v>70</v>
      </c>
      <c r="G16" s="4" t="s">
        <v>193</v>
      </c>
      <c r="H16" s="6" t="s">
        <v>194</v>
      </c>
      <c r="I16" s="3" t="s">
        <v>195</v>
      </c>
      <c r="J16" s="7"/>
      <c r="K16" s="4" t="s">
        <v>86</v>
      </c>
      <c r="L16" s="8"/>
      <c r="M16" s="8"/>
      <c r="N16" s="8"/>
      <c r="O16" s="4"/>
      <c r="P16" s="9" t="s">
        <v>36</v>
      </c>
      <c r="Q16" s="10"/>
      <c r="R16" s="4"/>
      <c r="S16" s="4" t="s">
        <v>196</v>
      </c>
      <c r="T16" s="4"/>
      <c r="U16" s="4" t="s">
        <v>197</v>
      </c>
      <c r="V16" s="11">
        <v>45008</v>
      </c>
      <c r="W16" s="11">
        <v>45028</v>
      </c>
      <c r="X16" s="4" t="s">
        <v>198</v>
      </c>
      <c r="Y16" s="11">
        <v>45037</v>
      </c>
      <c r="Z16" s="4" t="s">
        <v>199</v>
      </c>
      <c r="AA16" s="4" t="s">
        <v>200</v>
      </c>
      <c r="AB16" s="5" t="s">
        <v>91</v>
      </c>
      <c r="AC16" s="10"/>
    </row>
    <row r="17" ht="31" spans="2:29">
      <c r="B17" s="2"/>
      <c r="C17" s="3" t="s">
        <v>201</v>
      </c>
      <c r="D17" s="4" t="s">
        <v>30</v>
      </c>
      <c r="E17" s="3" t="s">
        <v>202</v>
      </c>
      <c r="F17" s="5" t="s">
        <v>95</v>
      </c>
      <c r="G17" s="4" t="s">
        <v>203</v>
      </c>
      <c r="H17" s="6">
        <v>15948060221</v>
      </c>
      <c r="I17" s="3"/>
      <c r="J17" s="7"/>
      <c r="K17" s="4" t="s">
        <v>204</v>
      </c>
      <c r="L17" s="8"/>
      <c r="M17" s="8">
        <v>45414</v>
      </c>
      <c r="N17" s="4">
        <f t="shared" ref="N17:N21" si="0">MONTH(M17)</f>
        <v>5</v>
      </c>
      <c r="O17" s="4"/>
      <c r="P17" s="9" t="s">
        <v>36</v>
      </c>
      <c r="Q17" s="10"/>
      <c r="R17" s="4"/>
      <c r="S17" s="4" t="s">
        <v>205</v>
      </c>
      <c r="T17" s="4"/>
      <c r="U17" s="4" t="s">
        <v>206</v>
      </c>
      <c r="V17" s="11">
        <v>45000</v>
      </c>
      <c r="W17" s="11">
        <v>45012</v>
      </c>
      <c r="X17" s="4" t="s">
        <v>207</v>
      </c>
      <c r="Y17" s="11">
        <v>45019</v>
      </c>
      <c r="Z17" s="4" t="s">
        <v>58</v>
      </c>
      <c r="AA17" s="4" t="s">
        <v>98</v>
      </c>
      <c r="AB17" s="5" t="s">
        <v>208</v>
      </c>
      <c r="AC17" s="10"/>
    </row>
    <row r="18" ht="76" spans="2:29">
      <c r="B18" s="2" t="s">
        <v>92</v>
      </c>
      <c r="C18" s="3" t="s">
        <v>209</v>
      </c>
      <c r="D18" s="4" t="s">
        <v>30</v>
      </c>
      <c r="E18" s="3" t="s">
        <v>210</v>
      </c>
      <c r="F18" s="5" t="s">
        <v>211</v>
      </c>
      <c r="G18" s="4" t="s">
        <v>212</v>
      </c>
      <c r="H18" s="6">
        <v>13906420220</v>
      </c>
      <c r="I18" s="3" t="s">
        <v>213</v>
      </c>
      <c r="J18" s="7"/>
      <c r="K18" s="4" t="s">
        <v>214</v>
      </c>
      <c r="L18" s="8"/>
      <c r="M18" s="8">
        <v>45291</v>
      </c>
      <c r="N18" s="4">
        <f t="shared" si="0"/>
        <v>12</v>
      </c>
      <c r="O18" s="4"/>
      <c r="P18" s="9" t="s">
        <v>36</v>
      </c>
      <c r="Q18" s="10"/>
      <c r="R18" s="4"/>
      <c r="S18" s="4" t="s">
        <v>215</v>
      </c>
      <c r="T18" s="4"/>
      <c r="U18" s="4"/>
      <c r="V18" s="11">
        <v>44918</v>
      </c>
      <c r="W18" s="11">
        <v>44931</v>
      </c>
      <c r="X18" s="4" t="s">
        <v>216</v>
      </c>
      <c r="Y18" s="11">
        <v>44932</v>
      </c>
      <c r="Z18" s="4" t="s">
        <v>58</v>
      </c>
      <c r="AA18" s="4" t="s">
        <v>98</v>
      </c>
      <c r="AB18" s="5" t="s">
        <v>217</v>
      </c>
      <c r="AC18" s="10"/>
    </row>
    <row r="19" ht="152" spans="2:29">
      <c r="B19" s="2" t="s">
        <v>218</v>
      </c>
      <c r="C19" s="3" t="s">
        <v>219</v>
      </c>
      <c r="D19" s="4" t="s">
        <v>30</v>
      </c>
      <c r="E19" s="3" t="s">
        <v>220</v>
      </c>
      <c r="F19" s="5" t="s">
        <v>221</v>
      </c>
      <c r="G19" s="4" t="s">
        <v>222</v>
      </c>
      <c r="H19" s="6">
        <v>18838205235</v>
      </c>
      <c r="I19" s="3" t="s">
        <v>223</v>
      </c>
      <c r="J19" s="7"/>
      <c r="K19" s="4" t="s">
        <v>224</v>
      </c>
      <c r="L19" s="8"/>
      <c r="M19" s="8">
        <v>45291</v>
      </c>
      <c r="N19" s="4">
        <f t="shared" si="0"/>
        <v>12</v>
      </c>
      <c r="O19" s="4"/>
      <c r="P19" s="9" t="s">
        <v>36</v>
      </c>
      <c r="Q19" s="10"/>
      <c r="R19" s="4"/>
      <c r="S19" s="4" t="s">
        <v>225</v>
      </c>
      <c r="T19" s="4" t="s">
        <v>226</v>
      </c>
      <c r="U19" s="4"/>
      <c r="V19" s="11">
        <v>44876</v>
      </c>
      <c r="W19" s="11">
        <v>44886</v>
      </c>
      <c r="X19" s="4" t="s">
        <v>227</v>
      </c>
      <c r="Y19" s="11">
        <v>44886</v>
      </c>
      <c r="Z19" s="4" t="s">
        <v>228</v>
      </c>
      <c r="AA19" s="4" t="s">
        <v>229</v>
      </c>
      <c r="AB19" s="5" t="s">
        <v>230</v>
      </c>
      <c r="AC19" s="10"/>
    </row>
    <row r="20" ht="76" spans="2:29">
      <c r="B20" s="2" t="s">
        <v>92</v>
      </c>
      <c r="C20" s="3" t="s">
        <v>93</v>
      </c>
      <c r="D20" s="4" t="s">
        <v>30</v>
      </c>
      <c r="E20" s="3" t="s">
        <v>231</v>
      </c>
      <c r="F20" s="5" t="s">
        <v>232</v>
      </c>
      <c r="G20" s="4" t="s">
        <v>96</v>
      </c>
      <c r="H20" s="6">
        <v>15982021956</v>
      </c>
      <c r="I20" s="3"/>
      <c r="J20" s="7"/>
      <c r="K20" s="4"/>
      <c r="L20" s="8"/>
      <c r="M20" s="8">
        <v>45291</v>
      </c>
      <c r="N20" s="4">
        <f t="shared" si="0"/>
        <v>12</v>
      </c>
      <c r="O20" s="4"/>
      <c r="P20" s="9" t="s">
        <v>36</v>
      </c>
      <c r="Q20" s="10"/>
      <c r="R20" s="4" t="s">
        <v>233</v>
      </c>
      <c r="S20" s="4" t="s">
        <v>234</v>
      </c>
      <c r="T20" s="4"/>
      <c r="U20" s="4"/>
      <c r="V20" s="11">
        <v>44872</v>
      </c>
      <c r="W20" s="11">
        <v>44876</v>
      </c>
      <c r="X20" s="12">
        <v>0</v>
      </c>
      <c r="Y20" s="11">
        <v>44876</v>
      </c>
      <c r="Z20" s="4" t="s">
        <v>58</v>
      </c>
      <c r="AA20" s="4" t="s">
        <v>98</v>
      </c>
      <c r="AB20" s="5" t="s">
        <v>235</v>
      </c>
      <c r="AC20" s="10"/>
    </row>
    <row r="21" ht="61" spans="2:29">
      <c r="B21" s="2" t="s">
        <v>92</v>
      </c>
      <c r="C21" s="3" t="s">
        <v>93</v>
      </c>
      <c r="D21" s="4" t="s">
        <v>30</v>
      </c>
      <c r="E21" s="3" t="s">
        <v>236</v>
      </c>
      <c r="F21" s="5" t="s">
        <v>232</v>
      </c>
      <c r="G21" s="4" t="s">
        <v>96</v>
      </c>
      <c r="H21" s="6">
        <v>15982021956</v>
      </c>
      <c r="I21" s="3"/>
      <c r="J21" s="7"/>
      <c r="K21" s="4"/>
      <c r="L21" s="8"/>
      <c r="M21" s="8">
        <v>45291</v>
      </c>
      <c r="N21" s="4">
        <f t="shared" si="0"/>
        <v>12</v>
      </c>
      <c r="O21" s="4"/>
      <c r="P21" s="9" t="s">
        <v>36</v>
      </c>
      <c r="Q21" s="10"/>
      <c r="R21" s="4" t="s">
        <v>237</v>
      </c>
      <c r="S21" s="4" t="s">
        <v>238</v>
      </c>
      <c r="T21" s="4"/>
      <c r="U21" s="4"/>
      <c r="V21" s="11">
        <v>44859</v>
      </c>
      <c r="W21" s="11">
        <v>44865</v>
      </c>
      <c r="X21" s="12">
        <v>0</v>
      </c>
      <c r="Y21" s="11">
        <v>44865</v>
      </c>
      <c r="Z21" s="4" t="s">
        <v>58</v>
      </c>
      <c r="AA21" s="4" t="s">
        <v>98</v>
      </c>
      <c r="AB21" s="5" t="s">
        <v>239</v>
      </c>
      <c r="AC21" s="10"/>
    </row>
    <row r="22" ht="76" spans="2:29">
      <c r="B22" s="2" t="s">
        <v>240</v>
      </c>
      <c r="C22" s="3" t="s">
        <v>241</v>
      </c>
      <c r="D22" s="4" t="s">
        <v>30</v>
      </c>
      <c r="E22" s="3" t="s">
        <v>242</v>
      </c>
      <c r="F22" s="5" t="s">
        <v>70</v>
      </c>
      <c r="G22" s="4" t="s">
        <v>243</v>
      </c>
      <c r="H22" s="6">
        <v>18018729628</v>
      </c>
      <c r="I22" s="3"/>
      <c r="J22" s="7"/>
      <c r="K22" s="4"/>
      <c r="L22" s="8"/>
      <c r="M22" s="8"/>
      <c r="N22" s="8"/>
      <c r="O22" s="4"/>
      <c r="P22" s="9" t="s">
        <v>36</v>
      </c>
      <c r="Q22" s="10"/>
      <c r="R22" s="4" t="s">
        <v>244</v>
      </c>
      <c r="S22" s="4" t="s">
        <v>245</v>
      </c>
      <c r="T22" s="4"/>
      <c r="U22" s="4"/>
      <c r="V22" s="11">
        <v>44858</v>
      </c>
      <c r="W22" s="11">
        <v>44861</v>
      </c>
      <c r="X22" s="12">
        <v>0</v>
      </c>
      <c r="Y22" s="11">
        <v>44862</v>
      </c>
      <c r="Z22" s="4" t="s">
        <v>58</v>
      </c>
      <c r="AA22" s="4"/>
      <c r="AB22" s="5" t="s">
        <v>246</v>
      </c>
      <c r="AC22" s="10"/>
    </row>
    <row r="23" ht="152" spans="2:29">
      <c r="B23" s="2" t="s">
        <v>92</v>
      </c>
      <c r="C23" s="3" t="s">
        <v>93</v>
      </c>
      <c r="D23" s="4" t="s">
        <v>30</v>
      </c>
      <c r="E23" s="3" t="s">
        <v>247</v>
      </c>
      <c r="F23" s="5" t="s">
        <v>95</v>
      </c>
      <c r="G23" s="4" t="s">
        <v>248</v>
      </c>
      <c r="H23" s="6" t="s">
        <v>249</v>
      </c>
      <c r="I23" s="3"/>
      <c r="J23" s="7"/>
      <c r="K23" s="4" t="s">
        <v>250</v>
      </c>
      <c r="L23" s="8"/>
      <c r="M23" s="8"/>
      <c r="N23" s="8"/>
      <c r="O23" s="4" t="s">
        <v>251</v>
      </c>
      <c r="P23" s="9" t="s">
        <v>36</v>
      </c>
      <c r="Q23" s="10"/>
      <c r="R23" s="4" t="s">
        <v>252</v>
      </c>
      <c r="S23" s="4" t="s">
        <v>253</v>
      </c>
      <c r="T23" s="4"/>
      <c r="U23" s="4"/>
      <c r="V23" s="11">
        <v>44810</v>
      </c>
      <c r="W23" s="11">
        <v>44831</v>
      </c>
      <c r="X23" s="4" t="s">
        <v>254</v>
      </c>
      <c r="Y23" s="11">
        <v>44842</v>
      </c>
      <c r="Z23" s="4" t="s">
        <v>255</v>
      </c>
      <c r="AA23" s="4" t="s">
        <v>98</v>
      </c>
      <c r="AB23" s="5" t="s">
        <v>256</v>
      </c>
      <c r="AC23" s="10"/>
    </row>
    <row r="24" ht="76" spans="2:29">
      <c r="B24" s="2" t="s">
        <v>218</v>
      </c>
      <c r="C24" s="3" t="s">
        <v>219</v>
      </c>
      <c r="D24" s="4" t="s">
        <v>46</v>
      </c>
      <c r="E24" s="3" t="s">
        <v>257</v>
      </c>
      <c r="F24" s="5" t="s">
        <v>258</v>
      </c>
      <c r="G24" s="4" t="s">
        <v>259</v>
      </c>
      <c r="H24" s="6">
        <v>18487332556</v>
      </c>
      <c r="I24" s="3" t="s">
        <v>260</v>
      </c>
      <c r="J24" s="7"/>
      <c r="K24" s="4" t="s">
        <v>261</v>
      </c>
      <c r="L24" s="8"/>
      <c r="M24" s="8"/>
      <c r="N24" s="8"/>
      <c r="O24" s="4"/>
      <c r="P24" s="9" t="s">
        <v>36</v>
      </c>
      <c r="Q24" s="10"/>
      <c r="R24" s="4" t="s">
        <v>262</v>
      </c>
      <c r="S24" s="4" t="s">
        <v>263</v>
      </c>
      <c r="T24" s="4" t="s">
        <v>264</v>
      </c>
      <c r="U24" s="4"/>
      <c r="V24" s="11">
        <v>44820</v>
      </c>
      <c r="W24" s="11">
        <v>44830</v>
      </c>
      <c r="X24" s="4" t="s">
        <v>265</v>
      </c>
      <c r="Y24" s="11">
        <v>44830</v>
      </c>
      <c r="Z24" s="4" t="s">
        <v>58</v>
      </c>
      <c r="AA24" s="4" t="s">
        <v>229</v>
      </c>
      <c r="AB24" s="5" t="s">
        <v>266</v>
      </c>
      <c r="AC24" s="10"/>
    </row>
  </sheetData>
  <autoFilter xmlns:etc="http://www.wps.cn/officeDocument/2017/etCustomData" ref="A1:AC1" etc:filterBottomFollowUsedRange="0">
    <extLst/>
  </autoFilter>
  <dataValidations count="1">
    <dataValidation type="list" allowBlank="1" showInputMessage="1" showErrorMessage="1" sqref="D2:D24">
      <formula1>"ITOSS,DCS,Others,软硬件维保"</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Jun</cp:lastModifiedBy>
  <dcterms:created xsi:type="dcterms:W3CDTF">2025-07-21T17:34:00Z</dcterms:created>
  <dcterms:modified xsi:type="dcterms:W3CDTF">2025-07-21T14:32:58Z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2052-7.3.0.8966</vt:lpwstr>
  </property>
  <property fmtid="{D5CDD505-2E9C-101B-9397-08002B2CF9AE}" pid="3" name="ICV">
    <vt:lpwstr>F22FF8293A21D659469E7D68CC46D01F_42</vt:lpwstr>
  </property>
</Properties>
</file>